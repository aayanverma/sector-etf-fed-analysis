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ayanverma/Desktop/sector-etf-fed-analysis/excel/"/>
    </mc:Choice>
  </mc:AlternateContent>
  <xr:revisionPtr revIDLastSave="0" documentId="13_ncr:1_{67EA07DD-F334-A84C-9A88-6DFEC4B347DC}" xr6:coauthVersionLast="47" xr6:coauthVersionMax="47" xr10:uidLastSave="{00000000-0000-0000-0000-000000000000}"/>
  <bookViews>
    <workbookView xWindow="3040" yWindow="2100" windowWidth="28040" windowHeight="17180" activeTab="3" xr2:uid="{81F0CCDD-0134-E24A-9AFA-78AB71020D46}"/>
  </bookViews>
  <sheets>
    <sheet name="avg_returns" sheetId="5" r:id="rId1"/>
    <sheet name="win_rates" sheetId="6" r:id="rId2"/>
    <sheet name="pivot_analysis" sheetId="3" r:id="rId3"/>
    <sheet name="bar_chart" sheetId="7" r:id="rId4"/>
    <sheet name="charts" sheetId="4" r:id="rId5"/>
  </sheets>
  <definedNames>
    <definedName name="ExternalData_1" localSheetId="0" hidden="1">avg_returns!$A$1:$D$25</definedName>
    <definedName name="ExternalData_1" localSheetId="1" hidden="1">win_rates!$A$1:$D$9</definedName>
  </definedNames>
  <calcPr calcId="181029"/>
  <pivotCaches>
    <pivotCache cacheId="4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" l="1" a="1"/>
  <c r="G4" i="3" s="1"/>
  <c r="G3" i="3" a="1"/>
  <c r="G3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F8FE7A5-0F35-BC4C-AF05-E833F4FC6605}" keepAlive="1" name="Query - avg_returns_by_cycle" description="Connection to the 'avg_returns_by_cycle' query in the workbook." type="5" refreshedVersion="8" background="1" saveData="1">
    <dbPr connection="Provider=Microsoft.Mashup.OleDb.1;Data Source=$Workbook$;Location=avg_returns_by_cycle;Extended Properties=&quot;&quot;" command="SELECT * FROM [avg_returns_by_cycle]"/>
  </connection>
  <connection id="2" xr16:uid="{9FC9FE3F-A7BC-5D40-8803-4CC258C63276}" keepAlive="1" name="Query - win_rates" description="Connection to the 'win_rates' query in the workbook." type="5" refreshedVersion="8" background="1" saveData="1">
    <dbPr connection="Provider=Microsoft.Mashup.OleDb.1;Data Source=$Workbook$;Location=win_rates;Extended Properties=&quot;&quot;" command="SELECT * FROM [win_rat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<sst xmlns="http://schemas.openxmlformats.org/spreadsheetml/2006/main" count="94" uniqueCount="24">
  <si>
    <t>ticker</t>
  </si>
  <si>
    <t>cycle_type</t>
  </si>
  <si>
    <t>avg_monthly_return</t>
  </si>
  <si>
    <t>rank</t>
  </si>
  <si>
    <t>XLE</t>
  </si>
  <si>
    <t>cutting</t>
  </si>
  <si>
    <t>XLY</t>
  </si>
  <si>
    <t>XLP</t>
  </si>
  <si>
    <t>XLV</t>
  </si>
  <si>
    <t>XLI</t>
  </si>
  <si>
    <t>XLU</t>
  </si>
  <si>
    <t>XLK</t>
  </si>
  <si>
    <t>XLF</t>
  </si>
  <si>
    <t>hiking</t>
  </si>
  <si>
    <t>neutral</t>
  </si>
  <si>
    <t>positive_months</t>
  </si>
  <si>
    <t>negative_months</t>
  </si>
  <si>
    <t>win_rate_pct</t>
  </si>
  <si>
    <t>Row Labels</t>
  </si>
  <si>
    <t>Column Labels</t>
  </si>
  <si>
    <t>Average of avg_monthly_return</t>
  </si>
  <si>
    <t>Cycle:</t>
  </si>
  <si>
    <t>Best Sector:</t>
  </si>
  <si>
    <t>Avg Return: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</si>
</sst>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eetMetadata" Target="metadata.xml"/><Relationship Id="rId5" Type="http://schemas.openxmlformats.org/officeDocument/2006/relationships/worksheet" Target="worksheets/sheet4.xml"/><Relationship Id="rId10" Type="http://schemas.openxmlformats.org/officeDocument/2006/relationships/sharedStrings" Target="sharedStrings.xml"/><Relationship Id="rId4" Type="http://schemas.openxmlformats.org/officeDocument/2006/relationships/chartsheet" Target="chartsheets/sheet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</a:t>
            </a:r>
            <a:r>
              <a:rPr lang="en-US" baseline="0"/>
              <a:t> Monthly Return by Sector and Rate Cycle (%)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charts!$B$1</c:f>
              <c:strCache>
                <c:ptCount val="1"/>
                <c:pt idx="0">
                  <c:v>cutting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charts!$A$2:$A$9</c:f>
              <c:strCache>
                <c:ptCount val="8"/>
                <c:pt idx="0">
                  <c:v>XLE</c:v>
                </c:pt>
                <c:pt idx="1">
                  <c:v>XLF</c:v>
                </c:pt>
                <c:pt idx="2">
                  <c:v>XLI</c:v>
                </c:pt>
                <c:pt idx="3">
                  <c:v>XLK</c:v>
                </c:pt>
                <c:pt idx="4">
                  <c:v>XLP</c:v>
                </c:pt>
                <c:pt idx="5">
                  <c:v>XLU</c:v>
                </c:pt>
                <c:pt idx="6">
                  <c:v>XLV</c:v>
                </c:pt>
                <c:pt idx="7">
                  <c:v>XLY</c:v>
                </c:pt>
              </c:strCache>
            </c:strRef>
          </c:cat>
          <c:val>
            <c:numRef>
              <c:f>charts!$B$2:$B$9</c:f>
              <c:numCache>
                <c:formatCode>General</c:formatCode>
                <c:ptCount val="8"/>
                <c:pt idx="0">
                  <c:v>1.35</c:v>
                </c:pt>
                <c:pt idx="1">
                  <c:v>-0.75</c:v>
                </c:pt>
                <c:pt idx="2">
                  <c:v>0.15</c:v>
                </c:pt>
                <c:pt idx="3">
                  <c:v>-0.18</c:v>
                </c:pt>
                <c:pt idx="4">
                  <c:v>0.28000000000000003</c:v>
                </c:pt>
                <c:pt idx="5">
                  <c:v>-0.11</c:v>
                </c:pt>
                <c:pt idx="6">
                  <c:v>0.25</c:v>
                </c:pt>
                <c:pt idx="7">
                  <c:v>0.92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FD-CF4E-BBDE-AE5D30BCF189}"/>
            </c:ext>
          </c:extLst>
        </c:ser>
        <c:ser>
          <c:idx val="1"/>
          <c:order val="1"/>
          <c:tx>
            <c:strRef>
              <c:f>charts!$C$1</c:f>
              <c:strCache>
                <c:ptCount val="1"/>
                <c:pt idx="0">
                  <c:v>hiking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charts!$A$2:$A$9</c:f>
              <c:strCache>
                <c:ptCount val="8"/>
                <c:pt idx="0">
                  <c:v>XLE</c:v>
                </c:pt>
                <c:pt idx="1">
                  <c:v>XLF</c:v>
                </c:pt>
                <c:pt idx="2">
                  <c:v>XLI</c:v>
                </c:pt>
                <c:pt idx="3">
                  <c:v>XLK</c:v>
                </c:pt>
                <c:pt idx="4">
                  <c:v>XLP</c:v>
                </c:pt>
                <c:pt idx="5">
                  <c:v>XLU</c:v>
                </c:pt>
                <c:pt idx="6">
                  <c:v>XLV</c:v>
                </c:pt>
                <c:pt idx="7">
                  <c:v>XLY</c:v>
                </c:pt>
              </c:strCache>
            </c:strRef>
          </c:cat>
          <c:val>
            <c:numRef>
              <c:f>charts!$C$2:$C$9</c:f>
              <c:numCache>
                <c:formatCode>General</c:formatCode>
                <c:ptCount val="8"/>
                <c:pt idx="0">
                  <c:v>0.61</c:v>
                </c:pt>
                <c:pt idx="1">
                  <c:v>0.83</c:v>
                </c:pt>
                <c:pt idx="2">
                  <c:v>0.79</c:v>
                </c:pt>
                <c:pt idx="3">
                  <c:v>0.68</c:v>
                </c:pt>
                <c:pt idx="4">
                  <c:v>0.82</c:v>
                </c:pt>
                <c:pt idx="5">
                  <c:v>1.1000000000000001</c:v>
                </c:pt>
                <c:pt idx="6">
                  <c:v>0.5</c:v>
                </c:pt>
                <c:pt idx="7">
                  <c:v>0.68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FD-CF4E-BBDE-AE5D30BCF189}"/>
            </c:ext>
          </c:extLst>
        </c:ser>
        <c:ser>
          <c:idx val="2"/>
          <c:order val="2"/>
          <c:tx>
            <c:strRef>
              <c:f>charts!$D$1</c:f>
              <c:strCache>
                <c:ptCount val="1"/>
                <c:pt idx="0">
                  <c:v>neutral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charts!$A$2:$A$9</c:f>
              <c:strCache>
                <c:ptCount val="8"/>
                <c:pt idx="0">
                  <c:v>XLE</c:v>
                </c:pt>
                <c:pt idx="1">
                  <c:v>XLF</c:v>
                </c:pt>
                <c:pt idx="2">
                  <c:v>XLI</c:v>
                </c:pt>
                <c:pt idx="3">
                  <c:v>XLK</c:v>
                </c:pt>
                <c:pt idx="4">
                  <c:v>XLP</c:v>
                </c:pt>
                <c:pt idx="5">
                  <c:v>XLU</c:v>
                </c:pt>
                <c:pt idx="6">
                  <c:v>XLV</c:v>
                </c:pt>
                <c:pt idx="7">
                  <c:v>XLY</c:v>
                </c:pt>
              </c:strCache>
            </c:strRef>
          </c:cat>
          <c:val>
            <c:numRef>
              <c:f>charts!$D$2:$D$9</c:f>
              <c:numCache>
                <c:formatCode>General</c:formatCode>
                <c:ptCount val="8"/>
                <c:pt idx="0">
                  <c:v>0.88</c:v>
                </c:pt>
                <c:pt idx="1">
                  <c:v>1.04</c:v>
                </c:pt>
                <c:pt idx="2">
                  <c:v>1.06</c:v>
                </c:pt>
                <c:pt idx="3">
                  <c:v>1.22</c:v>
                </c:pt>
                <c:pt idx="4">
                  <c:v>0.71</c:v>
                </c:pt>
                <c:pt idx="5">
                  <c:v>0.78</c:v>
                </c:pt>
                <c:pt idx="6">
                  <c:v>0.99</c:v>
                </c:pt>
                <c:pt idx="7">
                  <c:v>1.1299999999999999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FD-CF4E-BBDE-AE5D30BCF1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4353984"/>
        <c:axId val="1283350784"/>
      </c:barChart>
      <c:catAx>
        <c:axId val="167435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350784"/>
        <c:crosses val="autoZero"/>
        <c:auto val="1"/>
        <c:lblAlgn val="ctr"/>
        <c:lblOffset val="100"/>
        <c:noMultiLvlLbl val="0"/>
      </c:catAx>
      <c:valAx>
        <c:axId val="1283350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435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B148320-A41D-9041-AC49-29AE35A7A5C7}">
  <sheetPr/>
  <sheetViews>
    <sheetView tabSelected="1" zoomScale="12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1719" cy="629046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4B516A-0CF5-023A-8C07-7E3B8B06207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113.488278935183" createdVersion="8" refreshedVersion="8" minRefreshableVersion="3" recordCount="24" xr:uid="{E8FC7FAD-B686-D54A-BF08-1C9D4F4EAD9A}">
  <cacheSource type="worksheet">
    <worksheetSource ref="A1:D25" sheet="avg_returns"/>
  </cacheSource>
  <cacheFields count="4">
    <cacheField name="ticker" numFmtId="0">
      <sharedItems count="8">
        <s v="XLE"/>
        <s v="XLY"/>
        <s v="XLP"/>
        <s v="XLV"/>
        <s v="XLI"/>
        <s v="XLU"/>
        <s v="XLK"/>
        <s v="XLF"/>
      </sharedItems>
    </cacheField>
    <cacheField name="cycle_type" numFmtId="0">
      <sharedItems count="3">
        <s v="cutting"/>
        <s v="hiking"/>
        <s v="neutral"/>
      </sharedItems>
    </cacheField>
    <cacheField name="avg_monthly_return" numFmtId="0">
      <sharedItems containsSemiMixedTypes="0" containsString="0" containsNumber="1" minValue="-0.75" maxValue="1.35"/>
    </cacheField>
    <cacheField name="rank" numFmtId="0">
      <sharedItems containsSemiMixedTypes="0" containsString="0" containsNumber="1" containsInteger="1" minValue="1" maxValue="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n v="1.35"/>
    <n v="1"/>
  </r>
  <r>
    <x v="1"/>
    <x v="0"/>
    <n v="0.92"/>
    <n v="2"/>
  </r>
  <r>
    <x v="2"/>
    <x v="0"/>
    <n v="0.28000000000000003"/>
    <n v="3"/>
  </r>
  <r>
    <x v="3"/>
    <x v="0"/>
    <n v="0.25"/>
    <n v="4"/>
  </r>
  <r>
    <x v="4"/>
    <x v="0"/>
    <n v="0.15"/>
    <n v="5"/>
  </r>
  <r>
    <x v="5"/>
    <x v="0"/>
    <n v="-0.11"/>
    <n v="6"/>
  </r>
  <r>
    <x v="6"/>
    <x v="0"/>
    <n v="-0.18"/>
    <n v="7"/>
  </r>
  <r>
    <x v="7"/>
    <x v="0"/>
    <n v="-0.75"/>
    <n v="8"/>
  </r>
  <r>
    <x v="5"/>
    <x v="1"/>
    <n v="1.1000000000000001"/>
    <n v="1"/>
  </r>
  <r>
    <x v="7"/>
    <x v="1"/>
    <n v="0.83"/>
    <n v="2"/>
  </r>
  <r>
    <x v="2"/>
    <x v="1"/>
    <n v="0.82"/>
    <n v="3"/>
  </r>
  <r>
    <x v="4"/>
    <x v="1"/>
    <n v="0.79"/>
    <n v="4"/>
  </r>
  <r>
    <x v="6"/>
    <x v="1"/>
    <n v="0.68"/>
    <n v="5"/>
  </r>
  <r>
    <x v="1"/>
    <x v="1"/>
    <n v="0.68"/>
    <n v="6"/>
  </r>
  <r>
    <x v="0"/>
    <x v="1"/>
    <n v="0.61"/>
    <n v="7"/>
  </r>
  <r>
    <x v="3"/>
    <x v="1"/>
    <n v="0.5"/>
    <n v="8"/>
  </r>
  <r>
    <x v="6"/>
    <x v="2"/>
    <n v="1.22"/>
    <n v="1"/>
  </r>
  <r>
    <x v="1"/>
    <x v="2"/>
    <n v="1.1299999999999999"/>
    <n v="2"/>
  </r>
  <r>
    <x v="4"/>
    <x v="2"/>
    <n v="1.06"/>
    <n v="3"/>
  </r>
  <r>
    <x v="7"/>
    <x v="2"/>
    <n v="1.04"/>
    <n v="4"/>
  </r>
  <r>
    <x v="3"/>
    <x v="2"/>
    <n v="0.99"/>
    <n v="5"/>
  </r>
  <r>
    <x v="0"/>
    <x v="2"/>
    <n v="0.88"/>
    <n v="6"/>
  </r>
  <r>
    <x v="5"/>
    <x v="2"/>
    <n v="0.78"/>
    <n v="7"/>
  </r>
  <r>
    <x v="2"/>
    <x v="2"/>
    <n v="0.71"/>
    <n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079EDC-9A4B-6049-94D3-C546734DD06E}" name="PivotTable1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1:D10" firstHeaderRow="1" firstDataRow="2" firstDataCol="1"/>
  <pivotFields count="4">
    <pivotField axis="axisRow" showAll="0">
      <items count="9">
        <item x="0"/>
        <item x="7"/>
        <item x="4"/>
        <item x="6"/>
        <item x="2"/>
        <item x="5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1"/>
  </colFields>
  <colItems count="3">
    <i>
      <x/>
    </i>
    <i>
      <x v="1"/>
    </i>
    <i>
      <x v="2"/>
    </i>
  </colItems>
  <dataFields count="1">
    <dataField name="Average of avg_monthly_return" fld="2" subtotal="average" baseField="0" baseItem="0"/>
  </dataField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896DD9F-213B-1745-9975-F3D960A2241B}" autoFormatId="16" applyNumberFormats="0" applyBorderFormats="0" applyFontFormats="0" applyPatternFormats="0" applyAlignmentFormats="0" applyWidthHeightFormats="0">
  <queryTableRefresh nextId="5">
    <queryTableFields count="4">
      <queryTableField id="1" name="ticker" tableColumnId="1"/>
      <queryTableField id="2" name="cycle_type" tableColumnId="2"/>
      <queryTableField id="3" name="avg_monthly_return" tableColumnId="3"/>
      <queryTableField id="4" name="rank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FEE105A-E2BB-CD49-8439-6858C571638B}" autoFormatId="16" applyNumberFormats="0" applyBorderFormats="0" applyFontFormats="0" applyPatternFormats="0" applyAlignmentFormats="0" applyWidthHeightFormats="0">
  <queryTableRefresh nextId="5">
    <queryTableFields count="4">
      <queryTableField id="1" name="ticker" tableColumnId="1"/>
      <queryTableField id="2" name="positive_months" tableColumnId="2"/>
      <queryTableField id="3" name="negative_months" tableColumnId="3"/>
      <queryTableField id="4" name="win_rate_pct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DAADEE-2353-B346-B541-B851D7F80EEE}" name="avg_returns_by_cycle" displayName="avg_returns_by_cycle" ref="A1:D25" tableType="queryTable" totalsRowShown="0">
  <autoFilter ref="A1:D25" xr:uid="{A2DAADEE-2353-B346-B541-B851D7F80EEE}"/>
  <tableColumns count="4">
    <tableColumn id="1" xr3:uid="{97396CBB-169B-B24D-AD63-53FE10EB5612}" uniqueName="1" name="ticker" queryTableFieldId="1" dataDxfId="2"/>
    <tableColumn id="2" xr3:uid="{F30681D3-3703-2748-BF91-7D374E2D6516}" uniqueName="2" name="cycle_type" queryTableFieldId="2" dataDxfId="1"/>
    <tableColumn id="3" xr3:uid="{B4DD7B5B-B241-0B47-B701-A6AAB8E0B110}" uniqueName="3" name="avg_monthly_return" queryTableFieldId="3"/>
    <tableColumn id="4" xr3:uid="{E8392911-A089-D34F-8801-05650E8CA7BC}" uniqueName="4" name="rank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4113D4-A610-3046-A484-89B937882ED8}" name="win_rates" displayName="win_rates" ref="A1:D9" tableType="queryTable" totalsRowShown="0">
  <autoFilter ref="A1:D9" xr:uid="{D44113D4-A610-3046-A484-89B937882ED8}"/>
  <tableColumns count="4">
    <tableColumn id="1" xr3:uid="{9B0E3DBD-E12D-F340-A1C5-D161D371CE34}" uniqueName="1" name="ticker" queryTableFieldId="1" dataDxfId="0"/>
    <tableColumn id="2" xr3:uid="{C07705E0-FAA3-5240-AC98-3E5F9DEF05B9}" uniqueName="2" name="positive_months" queryTableFieldId="2"/>
    <tableColumn id="3" xr3:uid="{EE470B0E-7529-DD4F-8863-B7DF676CB839}" uniqueName="3" name="negative_months" queryTableFieldId="3"/>
    <tableColumn id="4" xr3:uid="{1A32D07F-33A1-BE41-A7AA-28F362F881F6}" uniqueName="4" name="win_rate_pct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FA82E-BA71-C546-AA94-BD16105FD0B2}">
  <dimension ref="A1:D25"/>
  <sheetViews>
    <sheetView workbookViewId="0">
      <selection activeCell="E29" sqref="E29"/>
    </sheetView>
  </sheetViews>
  <sheetFormatPr baseColWidth="10" defaultRowHeight="16" x14ac:dyDescent="0.2"/>
  <cols>
    <col min="1" max="1" width="8.5" bestFit="1" customWidth="1"/>
    <col min="2" max="2" width="12.33203125" bestFit="1" customWidth="1"/>
    <col min="3" max="3" width="20" bestFit="1" customWidth="1"/>
    <col min="4" max="4" width="7.3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 t="s">
        <v>4</v>
      </c>
      <c r="B2" s="1" t="s">
        <v>5</v>
      </c>
      <c r="C2">
        <v>1.35</v>
      </c>
      <c r="D2">
        <v>1</v>
      </c>
    </row>
    <row r="3" spans="1:4" x14ac:dyDescent="0.2">
      <c r="A3" s="1" t="s">
        <v>6</v>
      </c>
      <c r="B3" s="1" t="s">
        <v>5</v>
      </c>
      <c r="C3">
        <v>0.92</v>
      </c>
      <c r="D3">
        <v>2</v>
      </c>
    </row>
    <row r="4" spans="1:4" x14ac:dyDescent="0.2">
      <c r="A4" s="1" t="s">
        <v>7</v>
      </c>
      <c r="B4" s="1" t="s">
        <v>5</v>
      </c>
      <c r="C4">
        <v>0.28000000000000003</v>
      </c>
      <c r="D4">
        <v>3</v>
      </c>
    </row>
    <row r="5" spans="1:4" x14ac:dyDescent="0.2">
      <c r="A5" s="1" t="s">
        <v>8</v>
      </c>
      <c r="B5" s="1" t="s">
        <v>5</v>
      </c>
      <c r="C5">
        <v>0.25</v>
      </c>
      <c r="D5">
        <v>4</v>
      </c>
    </row>
    <row r="6" spans="1:4" x14ac:dyDescent="0.2">
      <c r="A6" s="1" t="s">
        <v>9</v>
      </c>
      <c r="B6" s="1" t="s">
        <v>5</v>
      </c>
      <c r="C6">
        <v>0.15</v>
      </c>
      <c r="D6">
        <v>5</v>
      </c>
    </row>
    <row r="7" spans="1:4" x14ac:dyDescent="0.2">
      <c r="A7" s="1" t="s">
        <v>10</v>
      </c>
      <c r="B7" s="1" t="s">
        <v>5</v>
      </c>
      <c r="C7">
        <v>-0.11</v>
      </c>
      <c r="D7">
        <v>6</v>
      </c>
    </row>
    <row r="8" spans="1:4" x14ac:dyDescent="0.2">
      <c r="A8" s="1" t="s">
        <v>11</v>
      </c>
      <c r="B8" s="1" t="s">
        <v>5</v>
      </c>
      <c r="C8">
        <v>-0.18</v>
      </c>
      <c r="D8">
        <v>7</v>
      </c>
    </row>
    <row r="9" spans="1:4" x14ac:dyDescent="0.2">
      <c r="A9" s="1" t="s">
        <v>12</v>
      </c>
      <c r="B9" s="1" t="s">
        <v>5</v>
      </c>
      <c r="C9">
        <v>-0.75</v>
      </c>
      <c r="D9">
        <v>8</v>
      </c>
    </row>
    <row r="10" spans="1:4" x14ac:dyDescent="0.2">
      <c r="A10" s="1" t="s">
        <v>10</v>
      </c>
      <c r="B10" s="1" t="s">
        <v>13</v>
      </c>
      <c r="C10">
        <v>1.1000000000000001</v>
      </c>
      <c r="D10">
        <v>1</v>
      </c>
    </row>
    <row r="11" spans="1:4" x14ac:dyDescent="0.2">
      <c r="A11" s="1" t="s">
        <v>12</v>
      </c>
      <c r="B11" s="1" t="s">
        <v>13</v>
      </c>
      <c r="C11">
        <v>0.83</v>
      </c>
      <c r="D11">
        <v>2</v>
      </c>
    </row>
    <row r="12" spans="1:4" x14ac:dyDescent="0.2">
      <c r="A12" s="1" t="s">
        <v>7</v>
      </c>
      <c r="B12" s="1" t="s">
        <v>13</v>
      </c>
      <c r="C12">
        <v>0.82</v>
      </c>
      <c r="D12">
        <v>3</v>
      </c>
    </row>
    <row r="13" spans="1:4" x14ac:dyDescent="0.2">
      <c r="A13" s="1" t="s">
        <v>9</v>
      </c>
      <c r="B13" s="1" t="s">
        <v>13</v>
      </c>
      <c r="C13">
        <v>0.79</v>
      </c>
      <c r="D13">
        <v>4</v>
      </c>
    </row>
    <row r="14" spans="1:4" x14ac:dyDescent="0.2">
      <c r="A14" s="1" t="s">
        <v>11</v>
      </c>
      <c r="B14" s="1" t="s">
        <v>13</v>
      </c>
      <c r="C14">
        <v>0.68</v>
      </c>
      <c r="D14">
        <v>5</v>
      </c>
    </row>
    <row r="15" spans="1:4" x14ac:dyDescent="0.2">
      <c r="A15" s="1" t="s">
        <v>6</v>
      </c>
      <c r="B15" s="1" t="s">
        <v>13</v>
      </c>
      <c r="C15">
        <v>0.68</v>
      </c>
      <c r="D15">
        <v>6</v>
      </c>
    </row>
    <row r="16" spans="1:4" x14ac:dyDescent="0.2">
      <c r="A16" s="1" t="s">
        <v>4</v>
      </c>
      <c r="B16" s="1" t="s">
        <v>13</v>
      </c>
      <c r="C16">
        <v>0.61</v>
      </c>
      <c r="D16">
        <v>7</v>
      </c>
    </row>
    <row r="17" spans="1:4" x14ac:dyDescent="0.2">
      <c r="A17" s="1" t="s">
        <v>8</v>
      </c>
      <c r="B17" s="1" t="s">
        <v>13</v>
      </c>
      <c r="C17">
        <v>0.5</v>
      </c>
      <c r="D17">
        <v>8</v>
      </c>
    </row>
    <row r="18" spans="1:4" x14ac:dyDescent="0.2">
      <c r="A18" s="1" t="s">
        <v>11</v>
      </c>
      <c r="B18" s="1" t="s">
        <v>14</v>
      </c>
      <c r="C18">
        <v>1.22</v>
      </c>
      <c r="D18">
        <v>1</v>
      </c>
    </row>
    <row r="19" spans="1:4" x14ac:dyDescent="0.2">
      <c r="A19" s="1" t="s">
        <v>6</v>
      </c>
      <c r="B19" s="1" t="s">
        <v>14</v>
      </c>
      <c r="C19">
        <v>1.1299999999999999</v>
      </c>
      <c r="D19">
        <v>2</v>
      </c>
    </row>
    <row r="20" spans="1:4" x14ac:dyDescent="0.2">
      <c r="A20" s="1" t="s">
        <v>9</v>
      </c>
      <c r="B20" s="1" t="s">
        <v>14</v>
      </c>
      <c r="C20">
        <v>1.06</v>
      </c>
      <c r="D20">
        <v>3</v>
      </c>
    </row>
    <row r="21" spans="1:4" x14ac:dyDescent="0.2">
      <c r="A21" s="1" t="s">
        <v>12</v>
      </c>
      <c r="B21" s="1" t="s">
        <v>14</v>
      </c>
      <c r="C21">
        <v>1.04</v>
      </c>
      <c r="D21">
        <v>4</v>
      </c>
    </row>
    <row r="22" spans="1:4" x14ac:dyDescent="0.2">
      <c r="A22" s="1" t="s">
        <v>8</v>
      </c>
      <c r="B22" s="1" t="s">
        <v>14</v>
      </c>
      <c r="C22">
        <v>0.99</v>
      </c>
      <c r="D22">
        <v>5</v>
      </c>
    </row>
    <row r="23" spans="1:4" x14ac:dyDescent="0.2">
      <c r="A23" s="1" t="s">
        <v>4</v>
      </c>
      <c r="B23" s="1" t="s">
        <v>14</v>
      </c>
      <c r="C23">
        <v>0.88</v>
      </c>
      <c r="D23">
        <v>6</v>
      </c>
    </row>
    <row r="24" spans="1:4" x14ac:dyDescent="0.2">
      <c r="A24" s="1" t="s">
        <v>10</v>
      </c>
      <c r="B24" s="1" t="s">
        <v>14</v>
      </c>
      <c r="C24">
        <v>0.78</v>
      </c>
      <c r="D24">
        <v>7</v>
      </c>
    </row>
    <row r="25" spans="1:4" x14ac:dyDescent="0.2">
      <c r="A25" s="1" t="s">
        <v>7</v>
      </c>
      <c r="B25" s="1" t="s">
        <v>14</v>
      </c>
      <c r="C25">
        <v>0.71</v>
      </c>
      <c r="D25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28E63-49B5-E948-A403-8CA144BB3ABB}">
  <dimension ref="A1:D9"/>
  <sheetViews>
    <sheetView workbookViewId="0"/>
  </sheetViews>
  <sheetFormatPr baseColWidth="10" defaultRowHeight="16" x14ac:dyDescent="0.2"/>
  <cols>
    <col min="1" max="1" width="8.5" bestFit="1" customWidth="1"/>
    <col min="2" max="2" width="17.33203125" bestFit="1" customWidth="1"/>
    <col min="3" max="3" width="17.83203125" bestFit="1" customWidth="1"/>
    <col min="4" max="4" width="14.1640625" bestFit="1" customWidth="1"/>
  </cols>
  <sheetData>
    <row r="1" spans="1:4" x14ac:dyDescent="0.2">
      <c r="A1" t="s">
        <v>0</v>
      </c>
      <c r="B1" t="s">
        <v>15</v>
      </c>
      <c r="C1" t="s">
        <v>16</v>
      </c>
      <c r="D1" t="s">
        <v>17</v>
      </c>
    </row>
    <row r="2" spans="1:4" x14ac:dyDescent="0.2">
      <c r="A2" s="1" t="s">
        <v>10</v>
      </c>
      <c r="B2">
        <v>187</v>
      </c>
      <c r="C2">
        <v>112</v>
      </c>
      <c r="D2">
        <v>62.5</v>
      </c>
    </row>
    <row r="3" spans="1:4" x14ac:dyDescent="0.2">
      <c r="A3" s="1" t="s">
        <v>9</v>
      </c>
      <c r="B3">
        <v>182</v>
      </c>
      <c r="C3">
        <v>117</v>
      </c>
      <c r="D3">
        <v>60.9</v>
      </c>
    </row>
    <row r="4" spans="1:4" x14ac:dyDescent="0.2">
      <c r="A4" s="1" t="s">
        <v>8</v>
      </c>
      <c r="B4">
        <v>181</v>
      </c>
      <c r="C4">
        <v>118</v>
      </c>
      <c r="D4">
        <v>60.5</v>
      </c>
    </row>
    <row r="5" spans="1:4" x14ac:dyDescent="0.2">
      <c r="A5" s="1" t="s">
        <v>11</v>
      </c>
      <c r="B5">
        <v>178</v>
      </c>
      <c r="C5">
        <v>120</v>
      </c>
      <c r="D5">
        <v>59.5</v>
      </c>
    </row>
    <row r="6" spans="1:4" x14ac:dyDescent="0.2">
      <c r="A6" s="1" t="s">
        <v>7</v>
      </c>
      <c r="B6">
        <v>175</v>
      </c>
      <c r="C6">
        <v>124</v>
      </c>
      <c r="D6">
        <v>58.5</v>
      </c>
    </row>
    <row r="7" spans="1:4" x14ac:dyDescent="0.2">
      <c r="A7" s="1" t="s">
        <v>6</v>
      </c>
      <c r="B7">
        <v>173</v>
      </c>
      <c r="C7">
        <v>125</v>
      </c>
      <c r="D7">
        <v>57.9</v>
      </c>
    </row>
    <row r="8" spans="1:4" x14ac:dyDescent="0.2">
      <c r="A8" s="1" t="s">
        <v>12</v>
      </c>
      <c r="B8">
        <v>166</v>
      </c>
      <c r="C8">
        <v>133</v>
      </c>
      <c r="D8">
        <v>55.5</v>
      </c>
    </row>
    <row r="9" spans="1:4" x14ac:dyDescent="0.2">
      <c r="A9" s="1" t="s">
        <v>4</v>
      </c>
      <c r="B9">
        <v>165</v>
      </c>
      <c r="C9">
        <v>134</v>
      </c>
      <c r="D9">
        <v>55.2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83322-43FB-3044-ACD0-6A00DA8F1E60}">
  <dimension ref="A1:G10"/>
  <sheetViews>
    <sheetView workbookViewId="0">
      <selection activeCell="E7" sqref="E7"/>
    </sheetView>
  </sheetViews>
  <sheetFormatPr baseColWidth="10" defaultRowHeight="16" x14ac:dyDescent="0.2"/>
  <cols>
    <col min="1" max="1" width="26.83203125" bestFit="1" customWidth="1"/>
    <col min="2" max="2" width="16" bestFit="1" customWidth="1"/>
    <col min="3" max="3" width="6.1640625" bestFit="1" customWidth="1"/>
    <col min="4" max="4" width="7" bestFit="1" customWidth="1"/>
    <col min="5" max="5" width="12.1640625" bestFit="1" customWidth="1"/>
  </cols>
  <sheetData>
    <row r="1" spans="1:7" x14ac:dyDescent="0.2">
      <c r="A1" s="2" t="s">
        <v>20</v>
      </c>
      <c r="B1" s="2" t="s">
        <v>19</v>
      </c>
    </row>
    <row r="2" spans="1:7" x14ac:dyDescent="0.2">
      <c r="A2" s="2" t="s">
        <v>18</v>
      </c>
      <c r="B2" t="s">
        <v>5</v>
      </c>
      <c r="C2" t="s">
        <v>13</v>
      </c>
      <c r="D2" t="s">
        <v>14</v>
      </c>
      <c r="F2" t="s">
        <v>21</v>
      </c>
      <c r="G2" t="s">
        <v>5</v>
      </c>
    </row>
    <row r="3" spans="1:7" x14ac:dyDescent="0.2">
      <c r="A3" s="3" t="s">
        <v>4</v>
      </c>
      <c r="B3" s="1">
        <v>1.35</v>
      </c>
      <c r="C3" s="1">
        <v>0.61</v>
      </c>
      <c r="D3" s="1">
        <v>0.88</v>
      </c>
      <c r="F3" t="s">
        <v>22</v>
      </c>
      <c r="G3" t="str" cm="1">
        <f t="array" ref="G3">_xlfn.XLOOKUP(G2&amp;1,avg_returns!B2:B25&amp;avg_returns!D2:D25,avg_returns!A2:A25)</f>
        <v>XLE</v>
      </c>
    </row>
    <row r="4" spans="1:7" x14ac:dyDescent="0.2">
      <c r="A4" s="3" t="s">
        <v>12</v>
      </c>
      <c r="B4" s="1">
        <v>-0.75</v>
      </c>
      <c r="C4" s="1">
        <v>0.83</v>
      </c>
      <c r="D4" s="1">
        <v>1.04</v>
      </c>
      <c r="F4" t="s">
        <v>23</v>
      </c>
      <c r="G4" cm="1">
        <f t="array" ref="G4">_xlfn.XLOOKUP(G2&amp;1,avg_returns!B2:B25&amp;avg_returns!D2:D25,avg_returns!C2:C25)</f>
        <v>1.35</v>
      </c>
    </row>
    <row r="5" spans="1:7" x14ac:dyDescent="0.2">
      <c r="A5" s="3" t="s">
        <v>9</v>
      </c>
      <c r="B5" s="1">
        <v>0.15</v>
      </c>
      <c r="C5" s="1">
        <v>0.79</v>
      </c>
      <c r="D5" s="1">
        <v>1.06</v>
      </c>
    </row>
    <row r="6" spans="1:7" x14ac:dyDescent="0.2">
      <c r="A6" s="3" t="s">
        <v>11</v>
      </c>
      <c r="B6" s="1">
        <v>-0.18</v>
      </c>
      <c r="C6" s="1">
        <v>0.68</v>
      </c>
      <c r="D6" s="1">
        <v>1.22</v>
      </c>
    </row>
    <row r="7" spans="1:7" x14ac:dyDescent="0.2">
      <c r="A7" s="3" t="s">
        <v>7</v>
      </c>
      <c r="B7" s="1">
        <v>0.28000000000000003</v>
      </c>
      <c r="C7" s="1">
        <v>0.82</v>
      </c>
      <c r="D7" s="1">
        <v>0.71</v>
      </c>
    </row>
    <row r="8" spans="1:7" x14ac:dyDescent="0.2">
      <c r="A8" s="3" t="s">
        <v>10</v>
      </c>
      <c r="B8" s="1">
        <v>-0.11</v>
      </c>
      <c r="C8" s="1">
        <v>1.1000000000000001</v>
      </c>
      <c r="D8" s="1">
        <v>0.78</v>
      </c>
    </row>
    <row r="9" spans="1:7" x14ac:dyDescent="0.2">
      <c r="A9" s="3" t="s">
        <v>8</v>
      </c>
      <c r="B9" s="1">
        <v>0.25</v>
      </c>
      <c r="C9" s="1">
        <v>0.5</v>
      </c>
      <c r="D9" s="1">
        <v>0.99</v>
      </c>
    </row>
    <row r="10" spans="1:7" x14ac:dyDescent="0.2">
      <c r="A10" s="3" t="s">
        <v>6</v>
      </c>
      <c r="B10" s="1">
        <v>0.92</v>
      </c>
      <c r="C10" s="1">
        <v>0.68</v>
      </c>
      <c r="D10" s="1">
        <v>1.1299999999999999</v>
      </c>
    </row>
  </sheetData>
  <conditionalFormatting pivot="1" sqref="B3:D10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FD6DF-C702-A84E-943F-A7A83B022B79}">
  <dimension ref="A1:D9"/>
  <sheetViews>
    <sheetView workbookViewId="0">
      <selection activeCell="C19" sqref="C19"/>
    </sheetView>
  </sheetViews>
  <sheetFormatPr baseColWidth="10" defaultRowHeight="16" x14ac:dyDescent="0.2"/>
  <sheetData>
    <row r="1" spans="1:4" x14ac:dyDescent="0.2">
      <c r="A1" t="s">
        <v>0</v>
      </c>
      <c r="B1" t="s">
        <v>5</v>
      </c>
      <c r="C1" t="s">
        <v>13</v>
      </c>
      <c r="D1" t="s">
        <v>14</v>
      </c>
    </row>
    <row r="2" spans="1:4" x14ac:dyDescent="0.2">
      <c r="A2" t="s">
        <v>4</v>
      </c>
      <c r="B2">
        <v>1.35</v>
      </c>
      <c r="C2">
        <v>0.61</v>
      </c>
      <c r="D2">
        <v>0.88</v>
      </c>
    </row>
    <row r="3" spans="1:4" x14ac:dyDescent="0.2">
      <c r="A3" t="s">
        <v>12</v>
      </c>
      <c r="B3">
        <v>-0.75</v>
      </c>
      <c r="C3">
        <v>0.83</v>
      </c>
      <c r="D3">
        <v>1.04</v>
      </c>
    </row>
    <row r="4" spans="1:4" x14ac:dyDescent="0.2">
      <c r="A4" t="s">
        <v>9</v>
      </c>
      <c r="B4">
        <v>0.15</v>
      </c>
      <c r="C4">
        <v>0.79</v>
      </c>
      <c r="D4">
        <v>1.06</v>
      </c>
    </row>
    <row r="5" spans="1:4" x14ac:dyDescent="0.2">
      <c r="A5" t="s">
        <v>11</v>
      </c>
      <c r="B5">
        <v>-0.18</v>
      </c>
      <c r="C5">
        <v>0.68</v>
      </c>
      <c r="D5">
        <v>1.22</v>
      </c>
    </row>
    <row r="6" spans="1:4" x14ac:dyDescent="0.2">
      <c r="A6" t="s">
        <v>7</v>
      </c>
      <c r="B6">
        <v>0.28000000000000003</v>
      </c>
      <c r="C6">
        <v>0.82</v>
      </c>
      <c r="D6">
        <v>0.71</v>
      </c>
    </row>
    <row r="7" spans="1:4" x14ac:dyDescent="0.2">
      <c r="A7" t="s">
        <v>10</v>
      </c>
      <c r="B7">
        <v>-0.11</v>
      </c>
      <c r="C7">
        <v>1.1000000000000001</v>
      </c>
      <c r="D7">
        <v>0.78</v>
      </c>
    </row>
    <row r="8" spans="1:4" x14ac:dyDescent="0.2">
      <c r="A8" t="s">
        <v>8</v>
      </c>
      <c r="B8">
        <v>0.25</v>
      </c>
      <c r="C8">
        <v>0.5</v>
      </c>
      <c r="D8">
        <v>0.99</v>
      </c>
    </row>
    <row r="9" spans="1:4" x14ac:dyDescent="0.2">
      <c r="A9" t="s">
        <v>6</v>
      </c>
      <c r="B9">
        <v>0.92</v>
      </c>
      <c r="C9">
        <v>0.68</v>
      </c>
      <c r="D9">
        <v>1.1299999999999999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AB74CD8-C823-B54C-AAFB-6E3EDF0167E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1</vt:i4>
      </vt:variant>
    </vt:vector>
  </HeadingPairs>
  <TitlesOfParts>
    <vt:vector size="5" baseType="lpstr">
      <vt:lpstr>avg_returns</vt:lpstr>
      <vt:lpstr>win_rates</vt:lpstr>
      <vt:lpstr>pivot_analysis</vt:lpstr>
      <vt:lpstr>charts</vt:lpstr>
      <vt:lpstr>bar_chart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2026-04-01T15:34:06Z</dcterms:created>
  <dcterms:modified xsi:type="dcterms:W3CDTF">2026-04-01T16:21:05Z</dcterms:modified>
</cp:coreProperties>
</file>